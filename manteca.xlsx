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5"/>
    <sheet state="visible" name="RECETAS" sheetId="2" r:id="rId6"/>
  </sheets>
  <definedNames/>
  <calcPr/>
</workbook>
</file>

<file path=xl/sharedStrings.xml><?xml version="1.0" encoding="utf-8"?>
<sst xmlns="http://schemas.openxmlformats.org/spreadsheetml/2006/main" count="204" uniqueCount="81">
  <si>
    <t>LEMON PIE</t>
  </si>
  <si>
    <t>CANTIDAD EN GR</t>
  </si>
  <si>
    <t>PRECIO</t>
  </si>
  <si>
    <t>PRECIO X 100G</t>
  </si>
  <si>
    <t>TOTAL</t>
  </si>
  <si>
    <t>TORTA</t>
  </si>
  <si>
    <t>Costo</t>
  </si>
  <si>
    <t>Precio x 2</t>
  </si>
  <si>
    <t>Precio x 2,5</t>
  </si>
  <si>
    <t>ROGEL</t>
  </si>
  <si>
    <t>Precio x3</t>
  </si>
  <si>
    <t>Harina</t>
  </si>
  <si>
    <t>KEY LIME PIE</t>
  </si>
  <si>
    <t>BANOFEE</t>
  </si>
  <si>
    <t>TORTA BROWNIE</t>
  </si>
  <si>
    <t>$</t>
  </si>
  <si>
    <t>Manteca</t>
  </si>
  <si>
    <t>Lincoln</t>
  </si>
  <si>
    <t>Chocolate</t>
  </si>
  <si>
    <t>Azucar</t>
  </si>
  <si>
    <t>Huevo</t>
  </si>
  <si>
    <t>Limon</t>
  </si>
  <si>
    <t>DDL</t>
  </si>
  <si>
    <t>Agua</t>
  </si>
  <si>
    <t>Leche condensada</t>
  </si>
  <si>
    <t>Rogel</t>
  </si>
  <si>
    <t>Banana</t>
  </si>
  <si>
    <t>Torta brownie</t>
  </si>
  <si>
    <t>aprox 250</t>
  </si>
  <si>
    <t>Crema</t>
  </si>
  <si>
    <t>Maicena</t>
  </si>
  <si>
    <t>Torta brownie c/frutos</t>
  </si>
  <si>
    <t>Huevos</t>
  </si>
  <si>
    <t>Base</t>
  </si>
  <si>
    <t>Lemon pie</t>
  </si>
  <si>
    <t>Coco y ddl</t>
  </si>
  <si>
    <t>Ch cobertura sa</t>
  </si>
  <si>
    <t>Caja</t>
  </si>
  <si>
    <t>Havannet</t>
  </si>
  <si>
    <t>Sticker</t>
  </si>
  <si>
    <t>Baño reposteria</t>
  </si>
  <si>
    <t>Sablee de alm</t>
  </si>
  <si>
    <t>crema</t>
  </si>
  <si>
    <t>frutos</t>
  </si>
  <si>
    <t>HAVANNET</t>
  </si>
  <si>
    <t>Pavlova</t>
  </si>
  <si>
    <t>Queso crema</t>
  </si>
  <si>
    <t>Key Lime pie</t>
  </si>
  <si>
    <t>COCO Y DDL</t>
  </si>
  <si>
    <t>Leche condens</t>
  </si>
  <si>
    <t>CHEESECAKE FRUTOS</t>
  </si>
  <si>
    <t>CHEESECAKE DDL</t>
  </si>
  <si>
    <t>carrefour (mas barato tienda)</t>
  </si>
  <si>
    <t>Cheesecake frutos</t>
  </si>
  <si>
    <t>crema + frutos</t>
  </si>
  <si>
    <t>Almendras</t>
  </si>
  <si>
    <t>Cheesecake ddl</t>
  </si>
  <si>
    <t>Nueces</t>
  </si>
  <si>
    <t>Banoffee</t>
  </si>
  <si>
    <t>Torta de nuez</t>
  </si>
  <si>
    <t>Chocolinas</t>
  </si>
  <si>
    <t>Chocotorta</t>
  </si>
  <si>
    <t>Coco</t>
  </si>
  <si>
    <t>Azucar imp</t>
  </si>
  <si>
    <t>Leche</t>
  </si>
  <si>
    <t>Frutos rojos</t>
  </si>
  <si>
    <t>Baño rep</t>
  </si>
  <si>
    <t>Bases tortas</t>
  </si>
  <si>
    <t>Frutos</t>
  </si>
  <si>
    <t>Stickers</t>
  </si>
  <si>
    <t>Caja torta</t>
  </si>
  <si>
    <t>PAVLOVA</t>
  </si>
  <si>
    <t>SABLEE DE ALMENDRAS</t>
  </si>
  <si>
    <t>TORTA DE NUEZ</t>
  </si>
  <si>
    <t>CHOCOTORTA</t>
  </si>
  <si>
    <t xml:space="preserve">Baño rep </t>
  </si>
  <si>
    <t>tienda</t>
  </si>
  <si>
    <t>Ch cobertura</t>
  </si>
  <si>
    <t>sapore</t>
  </si>
  <si>
    <t>maicena</t>
  </si>
  <si>
    <t>azucar imp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</si>
</sst>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CC0B5"/>
        <bgColor rgb="FFCCC0B5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5.88"/>
    <col customWidth="1" min="4" max="4" width="16.63"/>
    <col customWidth="1" min="9" max="9" width="18.75"/>
    <col customWidth="1" min="10" max="11" width="15.75"/>
    <col customWidth="1" min="12" max="12" width="16.13"/>
    <col customWidth="1" min="13" max="13" width="15.0"/>
  </cols>
  <sheetData>
    <row r="1">
      <c r="A1" s="1"/>
      <c r="B1" s="2" t="s">
        <v>1</v>
      </c>
      <c r="C1" s="2" t="s">
        <v>2</v>
      </c>
      <c r="D1" s="2" t="s">
        <v>3</v>
      </c>
      <c r="E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10</v>
      </c>
      <c r="N1" s="5"/>
    </row>
    <row r="2">
      <c r="A2" s="6" t="s">
        <v>11</v>
      </c>
      <c r="B2" s="6">
        <v>1000.0</v>
      </c>
      <c r="C2" s="6">
        <v>1500.0</v>
      </c>
      <c r="D2" s="7">
        <f t="shared" ref="D2:D3" si="1">(C2/B2)*100</f>
        <v>150</v>
      </c>
      <c r="E2" s="7"/>
      <c r="I2" s="2" t="s">
        <v>25</v>
      </c>
      <c r="J2" s="1"/>
      <c r="K2" s="1"/>
      <c r="L2" s="1"/>
      <c r="M2" s="1"/>
      <c r="N2" s="5"/>
    </row>
    <row r="3">
      <c r="A3" s="2" t="s">
        <v>19</v>
      </c>
      <c r="B3" s="2">
        <v>1000.0</v>
      </c>
      <c r="C3" s="2">
        <v>1400.0</v>
      </c>
      <c r="D3" s="1">
        <f t="shared" si="1"/>
        <v>140</v>
      </c>
      <c r="E3" s="1"/>
      <c r="I3" s="2" t="s">
        <v>27</v>
      </c>
      <c r="J3" s="1"/>
      <c r="K3" s="1"/>
      <c r="L3" s="1"/>
      <c r="M3" s="1"/>
      <c r="N3" s="5"/>
    </row>
    <row r="4">
      <c r="A4" s="6" t="s">
        <v>20</v>
      </c>
      <c r="B4" s="6">
        <v>30.0</v>
      </c>
      <c r="C4" s="6">
        <v>9000.0</v>
      </c>
      <c r="D4" s="7">
        <f>(C4/B4)</f>
        <v>300</v>
      </c>
      <c r="E4" s="7"/>
      <c r="I4" s="2" t="s">
        <v>31</v>
      </c>
      <c r="J4" s="1"/>
      <c r="K4" s="1"/>
      <c r="L4" s="1"/>
      <c r="M4" s="1"/>
      <c r="N4" s="5"/>
    </row>
    <row r="5">
      <c r="A5" s="2" t="s">
        <v>16</v>
      </c>
      <c r="B5" s="2">
        <v>2500.0</v>
      </c>
      <c r="C5" s="2">
        <v>32882.0</v>
      </c>
      <c r="D5" s="2">
        <v>1316.0</v>
      </c>
      <c r="E5" s="1"/>
      <c r="I5" s="2" t="s">
        <v>34</v>
      </c>
      <c r="J5" s="1"/>
      <c r="K5" s="1"/>
      <c r="L5" s="1"/>
      <c r="M5" s="1"/>
      <c r="N5" s="5"/>
    </row>
    <row r="6">
      <c r="A6" s="6" t="s">
        <v>22</v>
      </c>
      <c r="B6" s="6">
        <v>10000.0</v>
      </c>
      <c r="C6" s="6">
        <v>40618.0</v>
      </c>
      <c r="D6" s="6">
        <v>407.0</v>
      </c>
      <c r="E6" s="7"/>
      <c r="I6" s="2" t="s">
        <v>35</v>
      </c>
      <c r="J6" s="1"/>
      <c r="K6" s="1"/>
      <c r="L6" s="1"/>
      <c r="M6" s="1"/>
      <c r="N6" s="5"/>
    </row>
    <row r="7">
      <c r="A7" s="2" t="s">
        <v>36</v>
      </c>
      <c r="B7" s="2">
        <v>1000.0</v>
      </c>
      <c r="C7" s="2">
        <v>31000.0</v>
      </c>
      <c r="D7" s="1">
        <f t="shared" ref="D7:D21" si="2">(C7/B7)*100</f>
        <v>3100</v>
      </c>
      <c r="E7" s="1"/>
      <c r="I7" s="2" t="s">
        <v>38</v>
      </c>
      <c r="J7" s="1"/>
      <c r="K7" s="1"/>
      <c r="L7" s="1"/>
      <c r="M7" s="1"/>
      <c r="N7" s="5"/>
    </row>
    <row r="8">
      <c r="A8" s="6" t="s">
        <v>40</v>
      </c>
      <c r="B8" s="6">
        <v>1000.0</v>
      </c>
      <c r="C8" s="6">
        <v>13700.0</v>
      </c>
      <c r="D8" s="7">
        <f t="shared" si="2"/>
        <v>1370</v>
      </c>
      <c r="E8" s="7"/>
      <c r="I8" s="2" t="s">
        <v>41</v>
      </c>
      <c r="J8" s="1"/>
      <c r="K8" s="1"/>
      <c r="L8" s="1"/>
      <c r="M8" s="1"/>
      <c r="N8" s="5"/>
    </row>
    <row r="9">
      <c r="A9" s="2" t="s">
        <v>29</v>
      </c>
      <c r="B9" s="2">
        <v>350.0</v>
      </c>
      <c r="C9" s="2">
        <v>5800.0</v>
      </c>
      <c r="D9" s="1">
        <f t="shared" si="2"/>
        <v>1657.142857</v>
      </c>
      <c r="E9" s="1"/>
      <c r="I9" s="2" t="s">
        <v>45</v>
      </c>
      <c r="J9" s="1"/>
      <c r="K9" s="1"/>
      <c r="L9" s="1"/>
      <c r="M9" s="1"/>
      <c r="N9" s="5"/>
    </row>
    <row r="10">
      <c r="A10" s="6" t="s">
        <v>46</v>
      </c>
      <c r="B10" s="6">
        <v>290.0</v>
      </c>
      <c r="C10" s="6">
        <v>3450.0</v>
      </c>
      <c r="D10" s="7">
        <f t="shared" si="2"/>
        <v>1189.655172</v>
      </c>
      <c r="E10" s="7"/>
      <c r="I10" s="2" t="s">
        <v>47</v>
      </c>
      <c r="J10" s="1"/>
      <c r="K10" s="1"/>
      <c r="L10" s="1"/>
      <c r="M10" s="1"/>
      <c r="N10" s="5"/>
    </row>
    <row r="11">
      <c r="A11" s="2" t="s">
        <v>49</v>
      </c>
      <c r="B11" s="2">
        <v>395.0</v>
      </c>
      <c r="C11" s="2">
        <v>5700.0</v>
      </c>
      <c r="D11" s="1">
        <f t="shared" si="2"/>
        <v>1443.037975</v>
      </c>
      <c r="E11" s="1"/>
      <c r="F11" s="9" t="s">
        <v>52</v>
      </c>
      <c r="I11" s="2" t="s">
        <v>53</v>
      </c>
      <c r="J11" s="1"/>
      <c r="K11" s="1"/>
      <c r="L11" s="1"/>
      <c r="M11" s="1"/>
      <c r="N11" s="5"/>
    </row>
    <row r="12">
      <c r="A12" s="6" t="s">
        <v>55</v>
      </c>
      <c r="B12" s="6">
        <v>1000.0</v>
      </c>
      <c r="C12" s="6">
        <v>25775.0</v>
      </c>
      <c r="D12" s="7">
        <f t="shared" si="2"/>
        <v>2577.5</v>
      </c>
      <c r="E12" s="7"/>
      <c r="I12" s="2" t="s">
        <v>56</v>
      </c>
      <c r="J12" s="1"/>
      <c r="K12" s="1"/>
      <c r="L12" s="1"/>
      <c r="M12" s="1"/>
      <c r="N12" s="5"/>
    </row>
    <row r="13">
      <c r="A13" s="2" t="s">
        <v>57</v>
      </c>
      <c r="B13" s="2">
        <v>1000.0</v>
      </c>
      <c r="C13" s="2">
        <v>18750.0</v>
      </c>
      <c r="D13" s="1">
        <f t="shared" si="2"/>
        <v>1875</v>
      </c>
      <c r="E13" s="1"/>
      <c r="I13" s="2" t="s">
        <v>58</v>
      </c>
      <c r="J13" s="1"/>
      <c r="K13" s="1"/>
      <c r="L13" s="1"/>
      <c r="M13" s="1"/>
      <c r="N13" s="5"/>
    </row>
    <row r="14">
      <c r="A14" s="6" t="s">
        <v>17</v>
      </c>
      <c r="B14" s="6">
        <v>459.0</v>
      </c>
      <c r="C14" s="6">
        <v>5200.0</v>
      </c>
      <c r="D14" s="7">
        <f t="shared" si="2"/>
        <v>1132.897603</v>
      </c>
      <c r="E14" s="7"/>
      <c r="I14" s="2" t="s">
        <v>59</v>
      </c>
      <c r="J14" s="1"/>
      <c r="K14" s="1"/>
      <c r="L14" s="1"/>
      <c r="M14" s="1"/>
      <c r="N14" s="5"/>
    </row>
    <row r="15">
      <c r="A15" s="2" t="s">
        <v>60</v>
      </c>
      <c r="B15" s="2">
        <v>250.0</v>
      </c>
      <c r="C15" s="2">
        <v>2700.0</v>
      </c>
      <c r="D15" s="1">
        <f t="shared" si="2"/>
        <v>1080</v>
      </c>
      <c r="E15" s="1"/>
      <c r="I15" s="2" t="s">
        <v>61</v>
      </c>
      <c r="J15" s="1"/>
      <c r="K15" s="1"/>
      <c r="L15" s="1"/>
      <c r="M15" s="1"/>
      <c r="N15" s="5"/>
    </row>
    <row r="16">
      <c r="A16" s="6" t="s">
        <v>62</v>
      </c>
      <c r="B16" s="6">
        <v>1000.0</v>
      </c>
      <c r="C16" s="6">
        <v>12500.0</v>
      </c>
      <c r="D16" s="7">
        <f t="shared" si="2"/>
        <v>1250</v>
      </c>
      <c r="E16" s="7"/>
    </row>
    <row r="17">
      <c r="A17" s="2" t="s">
        <v>30</v>
      </c>
      <c r="B17" s="2">
        <v>1000.0</v>
      </c>
      <c r="C17" s="2">
        <v>1900.0</v>
      </c>
      <c r="D17" s="1">
        <f t="shared" si="2"/>
        <v>190</v>
      </c>
      <c r="E17" s="1"/>
    </row>
    <row r="18">
      <c r="A18" s="6" t="s">
        <v>63</v>
      </c>
      <c r="B18" s="6">
        <v>5000.0</v>
      </c>
      <c r="C18" s="6">
        <v>8800.0</v>
      </c>
      <c r="D18" s="7">
        <f t="shared" si="2"/>
        <v>176</v>
      </c>
      <c r="E18" s="7"/>
    </row>
    <row r="19">
      <c r="A19" s="2" t="s">
        <v>65</v>
      </c>
      <c r="B19" s="2">
        <v>1000.0</v>
      </c>
      <c r="C19" s="2">
        <v>18000.0</v>
      </c>
      <c r="D19" s="1">
        <f t="shared" si="2"/>
        <v>1800</v>
      </c>
      <c r="E19" s="1"/>
    </row>
    <row r="20">
      <c r="A20" s="6" t="s">
        <v>21</v>
      </c>
      <c r="B20" s="6">
        <v>1.0</v>
      </c>
      <c r="C20" s="7"/>
      <c r="D20" s="7">
        <f t="shared" si="2"/>
        <v>0</v>
      </c>
      <c r="E20" s="7"/>
    </row>
    <row r="21">
      <c r="A21" s="2" t="s">
        <v>26</v>
      </c>
      <c r="B21" s="2">
        <v>1.0</v>
      </c>
      <c r="C21" s="1"/>
      <c r="D21" s="1">
        <f t="shared" si="2"/>
        <v>0</v>
      </c>
      <c r="E21" s="1"/>
    </row>
    <row r="22">
      <c r="A22" s="6" t="s">
        <v>67</v>
      </c>
      <c r="B22" s="6">
        <v>54.0</v>
      </c>
      <c r="C22" s="6">
        <v>55000.0</v>
      </c>
      <c r="D22" s="7">
        <f>(C22/B22)</f>
        <v>1018.518519</v>
      </c>
      <c r="E22" s="7"/>
    </row>
    <row r="23">
      <c r="A23" s="2" t="s">
        <v>69</v>
      </c>
      <c r="B23" s="2">
        <v>300.0</v>
      </c>
      <c r="C23" s="1"/>
      <c r="D23" s="1">
        <f>(C23/B23)*100</f>
        <v>0</v>
      </c>
      <c r="E23" s="1"/>
    </row>
    <row r="24">
      <c r="A24" s="6" t="s">
        <v>70</v>
      </c>
      <c r="B24" s="6">
        <v>50.0</v>
      </c>
      <c r="C24" s="6">
        <v>58290.0</v>
      </c>
      <c r="D24" s="7">
        <f>(C24/B24)</f>
        <v>1165.8</v>
      </c>
      <c r="E24" s="7"/>
    </row>
    <row r="25">
      <c r="E25" s="10">
        <f>E2+E3+E4+E5+E6+E7+E8++E9+E10+E11+E12+E13+E14+E15+E16+E17+E18+E19+E20++E21+E22+E23+E24</f>
        <v>0</v>
      </c>
    </row>
    <row r="30">
      <c r="A30" s="9" t="s">
        <v>75</v>
      </c>
      <c r="B30" s="9" t="s">
        <v>76</v>
      </c>
    </row>
    <row r="31">
      <c r="A31" s="9" t="s">
        <v>22</v>
      </c>
      <c r="B31" s="9" t="s">
        <v>76</v>
      </c>
    </row>
    <row r="32">
      <c r="A32" s="9" t="s">
        <v>16</v>
      </c>
      <c r="B32" s="9" t="s">
        <v>76</v>
      </c>
    </row>
    <row r="33">
      <c r="A33" s="9" t="s">
        <v>77</v>
      </c>
      <c r="B33" s="9" t="s">
        <v>78</v>
      </c>
    </row>
    <row r="34">
      <c r="A34" s="9" t="s">
        <v>79</v>
      </c>
      <c r="B34" s="9" t="s">
        <v>76</v>
      </c>
    </row>
    <row r="35">
      <c r="A35" s="9" t="s">
        <v>80</v>
      </c>
      <c r="B35" s="9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13"/>
  </cols>
  <sheetData>
    <row r="2">
      <c r="A2" s="3" t="s">
        <v>0</v>
      </c>
      <c r="B2" s="4"/>
      <c r="E2" s="3" t="s">
        <v>9</v>
      </c>
      <c r="F2" s="4"/>
      <c r="I2" s="3" t="s">
        <v>12</v>
      </c>
      <c r="J2" s="4"/>
      <c r="M2" s="3" t="s">
        <v>13</v>
      </c>
      <c r="N2" s="4"/>
      <c r="Q2" s="3" t="s">
        <v>14</v>
      </c>
      <c r="R2" s="4"/>
    </row>
    <row r="3">
      <c r="A3" s="1"/>
      <c r="B3" s="2"/>
      <c r="C3" s="2" t="s">
        <v>15</v>
      </c>
      <c r="E3" s="1"/>
      <c r="F3" s="2"/>
      <c r="G3" s="2" t="s">
        <v>15</v>
      </c>
      <c r="I3" s="1"/>
      <c r="J3" s="2"/>
      <c r="K3" s="2" t="s">
        <v>15</v>
      </c>
      <c r="M3" s="1"/>
      <c r="N3" s="2"/>
      <c r="O3" s="2" t="s">
        <v>15</v>
      </c>
      <c r="Q3" s="1"/>
      <c r="R3" s="2"/>
      <c r="S3" s="2" t="s">
        <v>15</v>
      </c>
    </row>
    <row r="4">
      <c r="A4" s="2" t="s">
        <v>16</v>
      </c>
      <c r="B4" s="2">
        <v>175.0</v>
      </c>
      <c r="C4" s="1"/>
      <c r="E4" s="2" t="s">
        <v>16</v>
      </c>
      <c r="F4" s="2">
        <v>100.0</v>
      </c>
      <c r="G4" s="1"/>
      <c r="I4" s="2" t="s">
        <v>17</v>
      </c>
      <c r="J4" s="2">
        <v>300.0</v>
      </c>
      <c r="K4" s="1"/>
      <c r="M4" s="2" t="s">
        <v>17</v>
      </c>
      <c r="N4" s="2">
        <v>250.0</v>
      </c>
      <c r="O4" s="1"/>
      <c r="Q4" s="2" t="s">
        <v>16</v>
      </c>
      <c r="R4" s="2">
        <v>133.0</v>
      </c>
      <c r="S4" s="1"/>
    </row>
    <row r="5">
      <c r="A5" s="2" t="s">
        <v>11</v>
      </c>
      <c r="B5" s="2">
        <v>250.0</v>
      </c>
      <c r="C5" s="1"/>
      <c r="E5" s="2" t="s">
        <v>11</v>
      </c>
      <c r="F5" s="2">
        <v>450.0</v>
      </c>
      <c r="G5" s="1"/>
      <c r="I5" s="2" t="s">
        <v>16</v>
      </c>
      <c r="J5" s="2">
        <v>80.0</v>
      </c>
      <c r="K5" s="1"/>
      <c r="M5" s="2" t="s">
        <v>16</v>
      </c>
      <c r="N5" s="2">
        <v>80.0</v>
      </c>
      <c r="O5" s="1"/>
      <c r="Q5" s="2" t="s">
        <v>18</v>
      </c>
      <c r="R5" s="2">
        <v>240.0</v>
      </c>
      <c r="S5" s="1"/>
    </row>
    <row r="6">
      <c r="A6" s="2" t="s">
        <v>19</v>
      </c>
      <c r="B6" s="2">
        <v>500.0</v>
      </c>
      <c r="C6" s="1"/>
      <c r="E6" s="2" t="s">
        <v>20</v>
      </c>
      <c r="F6" s="2">
        <v>3.0</v>
      </c>
      <c r="G6" s="1"/>
      <c r="I6" s="2" t="s">
        <v>21</v>
      </c>
      <c r="J6" s="2">
        <v>4.0</v>
      </c>
      <c r="K6" s="1"/>
      <c r="M6" s="2" t="s">
        <v>22</v>
      </c>
      <c r="N6" s="2">
        <v>400.0</v>
      </c>
      <c r="O6" s="1"/>
      <c r="Q6" s="2" t="s">
        <v>19</v>
      </c>
      <c r="R6" s="2">
        <v>350.0</v>
      </c>
      <c r="S6" s="1"/>
    </row>
    <row r="7">
      <c r="A7" s="2" t="s">
        <v>20</v>
      </c>
      <c r="B7" s="2">
        <v>5.0</v>
      </c>
      <c r="C7" s="1"/>
      <c r="E7" s="2" t="s">
        <v>23</v>
      </c>
      <c r="F7" s="2">
        <v>150.0</v>
      </c>
      <c r="G7" s="1"/>
      <c r="I7" s="2" t="s">
        <v>24</v>
      </c>
      <c r="J7" s="2">
        <v>2.0</v>
      </c>
      <c r="K7" s="1"/>
      <c r="M7" s="2" t="s">
        <v>26</v>
      </c>
      <c r="N7" s="2">
        <v>2.0</v>
      </c>
      <c r="O7" s="1"/>
      <c r="Q7" s="2" t="s">
        <v>20</v>
      </c>
      <c r="R7" s="2">
        <v>4.0</v>
      </c>
      <c r="S7" s="1"/>
    </row>
    <row r="8">
      <c r="A8" s="2" t="s">
        <v>21</v>
      </c>
      <c r="B8" s="2">
        <v>4.0</v>
      </c>
      <c r="C8" s="1"/>
      <c r="E8" s="2" t="s">
        <v>19</v>
      </c>
      <c r="F8" s="2" t="s">
        <v>28</v>
      </c>
      <c r="G8" s="1"/>
      <c r="I8" s="2" t="s">
        <v>29</v>
      </c>
      <c r="J8" s="2">
        <v>310.0</v>
      </c>
      <c r="K8" s="1"/>
      <c r="M8" s="2" t="s">
        <v>29</v>
      </c>
      <c r="N8" s="2">
        <v>350.0</v>
      </c>
      <c r="O8" s="1"/>
      <c r="Q8" s="2" t="s">
        <v>11</v>
      </c>
      <c r="R8" s="2">
        <v>213.0</v>
      </c>
      <c r="S8" s="1"/>
    </row>
    <row r="9">
      <c r="A9" s="2" t="s">
        <v>30</v>
      </c>
      <c r="B9" s="2">
        <v>60.0</v>
      </c>
      <c r="C9" s="1"/>
      <c r="E9" s="2" t="s">
        <v>22</v>
      </c>
      <c r="F9" s="2">
        <v>1500.0</v>
      </c>
      <c r="G9" s="1"/>
      <c r="I9" s="2" t="s">
        <v>32</v>
      </c>
      <c r="J9" s="2">
        <v>6.0</v>
      </c>
      <c r="K9" s="1"/>
      <c r="M9" s="2" t="s">
        <v>33</v>
      </c>
      <c r="N9" s="2">
        <v>1.0</v>
      </c>
      <c r="O9" s="1"/>
      <c r="Q9" s="2" t="s">
        <v>22</v>
      </c>
      <c r="R9" s="2">
        <v>600.0</v>
      </c>
      <c r="S9" s="1"/>
    </row>
    <row r="10">
      <c r="A10" s="2" t="s">
        <v>23</v>
      </c>
      <c r="B10" s="2">
        <v>500.0</v>
      </c>
      <c r="C10" s="1"/>
      <c r="E10" s="2" t="s">
        <v>33</v>
      </c>
      <c r="F10" s="2">
        <v>1.0</v>
      </c>
      <c r="G10" s="1"/>
      <c r="I10" s="2" t="s">
        <v>33</v>
      </c>
      <c r="J10" s="2">
        <v>1.0</v>
      </c>
      <c r="K10" s="1"/>
      <c r="M10" s="2" t="s">
        <v>37</v>
      </c>
      <c r="N10" s="2">
        <v>1.0</v>
      </c>
      <c r="O10" s="1"/>
      <c r="Q10" s="2" t="s">
        <v>33</v>
      </c>
      <c r="R10" s="2">
        <v>1.0</v>
      </c>
      <c r="S10" s="1"/>
    </row>
    <row r="11">
      <c r="A11" s="2" t="s">
        <v>33</v>
      </c>
      <c r="B11" s="2">
        <v>1.0</v>
      </c>
      <c r="C11" s="1"/>
      <c r="E11" s="2" t="s">
        <v>37</v>
      </c>
      <c r="F11" s="2">
        <v>1.0</v>
      </c>
      <c r="G11" s="1"/>
      <c r="I11" s="2" t="s">
        <v>37</v>
      </c>
      <c r="J11" s="2">
        <v>1.0</v>
      </c>
      <c r="K11" s="1"/>
      <c r="M11" s="2" t="s">
        <v>39</v>
      </c>
      <c r="N11" s="2">
        <v>1.0</v>
      </c>
      <c r="O11" s="1"/>
      <c r="Q11" s="2" t="s">
        <v>37</v>
      </c>
      <c r="R11" s="2">
        <v>1.0</v>
      </c>
      <c r="S11" s="1"/>
    </row>
    <row r="12">
      <c r="A12" s="2" t="s">
        <v>37</v>
      </c>
      <c r="B12" s="2">
        <v>1.0</v>
      </c>
      <c r="C12" s="1"/>
      <c r="E12" s="2" t="s">
        <v>39</v>
      </c>
      <c r="F12" s="2">
        <v>1.0</v>
      </c>
      <c r="G12" s="1"/>
      <c r="I12" s="2" t="s">
        <v>39</v>
      </c>
      <c r="J12" s="2">
        <v>1.0</v>
      </c>
      <c r="K12" s="1"/>
      <c r="M12" s="5"/>
      <c r="N12" s="8"/>
      <c r="O12" s="1"/>
      <c r="Q12" s="2" t="s">
        <v>39</v>
      </c>
      <c r="R12" s="2">
        <v>1.0</v>
      </c>
      <c r="S12" s="1"/>
    </row>
    <row r="13">
      <c r="A13" s="2" t="s">
        <v>39</v>
      </c>
      <c r="B13" s="2">
        <v>1.0</v>
      </c>
      <c r="C13" s="1"/>
      <c r="E13" s="5"/>
      <c r="F13" s="8"/>
      <c r="G13" s="1"/>
      <c r="I13" s="5"/>
      <c r="J13" s="8"/>
      <c r="K13" s="1"/>
      <c r="Q13" s="5"/>
      <c r="R13" s="8"/>
      <c r="S13" s="1"/>
    </row>
    <row r="14">
      <c r="A14" s="5"/>
      <c r="B14" s="8"/>
      <c r="C14" s="1"/>
      <c r="Q14" s="2" t="s">
        <v>42</v>
      </c>
      <c r="R14" s="2">
        <v>350.0</v>
      </c>
      <c r="S14" s="1"/>
    </row>
    <row r="15">
      <c r="Q15" s="2" t="s">
        <v>43</v>
      </c>
      <c r="R15" s="2">
        <v>250.0</v>
      </c>
      <c r="S15" s="1"/>
    </row>
    <row r="16">
      <c r="A16" s="3" t="s">
        <v>44</v>
      </c>
      <c r="B16" s="4"/>
      <c r="E16" s="3" t="s">
        <v>48</v>
      </c>
      <c r="F16" s="4"/>
      <c r="I16" s="3" t="s">
        <v>50</v>
      </c>
      <c r="J16" s="4"/>
      <c r="M16" s="3" t="s">
        <v>51</v>
      </c>
      <c r="N16" s="4"/>
      <c r="Q16" s="2" t="s">
        <v>54</v>
      </c>
      <c r="R16" s="1"/>
      <c r="S16" s="1"/>
    </row>
    <row r="17">
      <c r="A17" s="1"/>
      <c r="B17" s="2"/>
      <c r="C17" s="2" t="s">
        <v>15</v>
      </c>
      <c r="E17" s="1"/>
      <c r="F17" s="2"/>
      <c r="G17" s="2" t="s">
        <v>15</v>
      </c>
      <c r="I17" s="1"/>
      <c r="J17" s="2"/>
      <c r="K17" s="2" t="s">
        <v>15</v>
      </c>
      <c r="M17" s="1"/>
      <c r="N17" s="2"/>
      <c r="O17" s="2" t="s">
        <v>15</v>
      </c>
    </row>
    <row r="18">
      <c r="A18" s="2" t="s">
        <v>16</v>
      </c>
      <c r="B18" s="2">
        <v>125.0</v>
      </c>
      <c r="C18" s="1"/>
      <c r="E18" s="2" t="s">
        <v>16</v>
      </c>
      <c r="F18" s="2">
        <v>125.0</v>
      </c>
      <c r="G18" s="1"/>
      <c r="I18" s="2" t="s">
        <v>17</v>
      </c>
      <c r="J18" s="2">
        <v>250.0</v>
      </c>
      <c r="K18" s="1"/>
      <c r="M18" s="2" t="s">
        <v>17</v>
      </c>
      <c r="N18" s="2">
        <v>250.0</v>
      </c>
      <c r="O18" s="1"/>
    </row>
    <row r="19">
      <c r="A19" s="2" t="s">
        <v>11</v>
      </c>
      <c r="B19" s="2">
        <v>250.0</v>
      </c>
      <c r="C19" s="1"/>
      <c r="E19" s="2" t="s">
        <v>11</v>
      </c>
      <c r="F19" s="2">
        <v>250.0</v>
      </c>
      <c r="G19" s="1"/>
      <c r="I19" s="2" t="s">
        <v>16</v>
      </c>
      <c r="J19" s="2">
        <v>80.0</v>
      </c>
      <c r="K19" s="1"/>
      <c r="M19" s="2" t="s">
        <v>16</v>
      </c>
      <c r="N19" s="2">
        <v>80.0</v>
      </c>
      <c r="O19" s="1"/>
    </row>
    <row r="20">
      <c r="A20" s="2" t="s">
        <v>19</v>
      </c>
      <c r="B20" s="2">
        <v>100.0</v>
      </c>
      <c r="C20" s="1"/>
      <c r="E20" s="2" t="s">
        <v>19</v>
      </c>
      <c r="F20" s="2">
        <v>300.0</v>
      </c>
      <c r="G20" s="1"/>
      <c r="I20" s="2" t="s">
        <v>46</v>
      </c>
      <c r="J20" s="2">
        <v>800.0</v>
      </c>
      <c r="K20" s="1"/>
      <c r="M20" s="2" t="s">
        <v>46</v>
      </c>
      <c r="N20" s="2">
        <v>500.0</v>
      </c>
      <c r="O20" s="1"/>
    </row>
    <row r="21">
      <c r="A21" s="2" t="s">
        <v>20</v>
      </c>
      <c r="B21" s="2">
        <v>1.0</v>
      </c>
      <c r="C21" s="1"/>
      <c r="E21" s="2" t="s">
        <v>20</v>
      </c>
      <c r="F21" s="2">
        <v>2.0</v>
      </c>
      <c r="G21" s="1"/>
      <c r="I21" s="2" t="s">
        <v>29</v>
      </c>
      <c r="J21" s="2">
        <v>320.0</v>
      </c>
      <c r="K21" s="1"/>
      <c r="M21" s="2" t="s">
        <v>29</v>
      </c>
      <c r="N21" s="2">
        <v>200.0</v>
      </c>
      <c r="O21" s="1"/>
    </row>
    <row r="22">
      <c r="A22" s="2" t="s">
        <v>22</v>
      </c>
      <c r="B22" s="2">
        <v>800.0</v>
      </c>
      <c r="C22" s="1"/>
      <c r="E22" s="2" t="s">
        <v>22</v>
      </c>
      <c r="F22" s="2">
        <v>800.0</v>
      </c>
      <c r="G22" s="1"/>
      <c r="I22" s="2" t="s">
        <v>64</v>
      </c>
      <c r="J22" s="2">
        <v>100.0</v>
      </c>
      <c r="K22" s="1"/>
      <c r="M22" s="2" t="s">
        <v>22</v>
      </c>
      <c r="N22" s="2">
        <v>580.0</v>
      </c>
      <c r="O22" s="1"/>
    </row>
    <row r="23">
      <c r="A23" s="2" t="s">
        <v>29</v>
      </c>
      <c r="B23" s="2">
        <v>60.0</v>
      </c>
      <c r="C23" s="1"/>
      <c r="E23" s="2" t="s">
        <v>62</v>
      </c>
      <c r="F23" s="2">
        <v>60.0</v>
      </c>
      <c r="G23" s="1"/>
      <c r="I23" s="2" t="s">
        <v>19</v>
      </c>
      <c r="J23" s="2">
        <v>350.0</v>
      </c>
      <c r="K23" s="1"/>
      <c r="M23" s="2" t="s">
        <v>19</v>
      </c>
      <c r="N23" s="2">
        <v>40.0</v>
      </c>
      <c r="O23" s="1"/>
    </row>
    <row r="24">
      <c r="A24" s="2" t="s">
        <v>66</v>
      </c>
      <c r="B24" s="2">
        <v>230.0</v>
      </c>
      <c r="C24" s="1"/>
      <c r="E24" s="2" t="s">
        <v>33</v>
      </c>
      <c r="F24" s="2">
        <v>1.0</v>
      </c>
      <c r="G24" s="1"/>
      <c r="I24" s="2" t="s">
        <v>32</v>
      </c>
      <c r="J24" s="2">
        <v>6.0</v>
      </c>
      <c r="K24" s="1"/>
      <c r="M24" s="2" t="s">
        <v>32</v>
      </c>
      <c r="N24" s="2">
        <v>3.0</v>
      </c>
      <c r="O24" s="1"/>
    </row>
    <row r="25">
      <c r="A25" s="2" t="s">
        <v>33</v>
      </c>
      <c r="B25" s="2">
        <v>1.0</v>
      </c>
      <c r="C25" s="1"/>
      <c r="E25" s="2" t="s">
        <v>37</v>
      </c>
      <c r="F25" s="2">
        <v>1.0</v>
      </c>
      <c r="G25" s="1"/>
      <c r="I25" s="2" t="s">
        <v>68</v>
      </c>
      <c r="J25" s="2">
        <v>300.0</v>
      </c>
      <c r="K25" s="1"/>
      <c r="M25" s="2" t="s">
        <v>30</v>
      </c>
      <c r="N25" s="2">
        <v>20.0</v>
      </c>
      <c r="O25" s="1"/>
    </row>
    <row r="26">
      <c r="A26" s="2" t="s">
        <v>37</v>
      </c>
      <c r="B26" s="2">
        <v>1.0</v>
      </c>
      <c r="C26" s="1"/>
      <c r="E26" s="2" t="s">
        <v>39</v>
      </c>
      <c r="F26" s="2">
        <v>1.0</v>
      </c>
      <c r="G26" s="1"/>
      <c r="I26" s="2" t="s">
        <v>33</v>
      </c>
      <c r="J26" s="2">
        <v>1.0</v>
      </c>
      <c r="K26" s="1"/>
      <c r="M26" s="2" t="s">
        <v>33</v>
      </c>
      <c r="N26" s="2">
        <v>1.0</v>
      </c>
      <c r="O26" s="1"/>
    </row>
    <row r="27">
      <c r="A27" s="2" t="s">
        <v>39</v>
      </c>
      <c r="B27" s="2">
        <v>1.0</v>
      </c>
      <c r="C27" s="1"/>
      <c r="E27" s="5"/>
      <c r="F27" s="8"/>
      <c r="G27" s="1"/>
      <c r="I27" s="2" t="s">
        <v>37</v>
      </c>
      <c r="J27" s="2">
        <v>1.0</v>
      </c>
      <c r="K27" s="1"/>
      <c r="M27" s="2" t="s">
        <v>37</v>
      </c>
      <c r="N27" s="2">
        <v>1.0</v>
      </c>
      <c r="O27" s="1"/>
    </row>
    <row r="28">
      <c r="A28" s="5"/>
      <c r="B28" s="8"/>
      <c r="C28" s="1"/>
      <c r="I28" s="2" t="s">
        <v>39</v>
      </c>
      <c r="J28" s="2">
        <v>1.0</v>
      </c>
      <c r="K28" s="1"/>
      <c r="M28" s="2" t="s">
        <v>39</v>
      </c>
      <c r="N28" s="2">
        <v>1.0</v>
      </c>
      <c r="O28" s="1"/>
    </row>
    <row r="29">
      <c r="I29" s="5"/>
      <c r="J29" s="8"/>
      <c r="K29" s="1"/>
      <c r="M29" s="5"/>
      <c r="N29" s="8"/>
      <c r="O29" s="1"/>
    </row>
    <row r="32">
      <c r="A32" s="3" t="s">
        <v>71</v>
      </c>
      <c r="B32" s="4"/>
      <c r="E32" s="3" t="s">
        <v>72</v>
      </c>
      <c r="F32" s="4"/>
      <c r="I32" s="3" t="s">
        <v>73</v>
      </c>
      <c r="J32" s="4"/>
      <c r="M32" s="3" t="s">
        <v>74</v>
      </c>
      <c r="N32" s="4"/>
    </row>
    <row r="33">
      <c r="A33" s="1"/>
      <c r="B33" s="2"/>
      <c r="C33" s="2" t="s">
        <v>15</v>
      </c>
      <c r="E33" s="1"/>
      <c r="F33" s="2"/>
      <c r="G33" s="2" t="s">
        <v>15</v>
      </c>
      <c r="I33" s="1"/>
      <c r="J33" s="2"/>
      <c r="K33" s="2" t="s">
        <v>15</v>
      </c>
      <c r="M33" s="1"/>
      <c r="N33" s="2"/>
      <c r="O33" s="2" t="s">
        <v>15</v>
      </c>
    </row>
    <row r="34">
      <c r="A34" s="2" t="s">
        <v>32</v>
      </c>
      <c r="B34" s="2">
        <v>150.0</v>
      </c>
      <c r="C34" s="1"/>
      <c r="E34" s="2" t="s">
        <v>16</v>
      </c>
      <c r="F34" s="2">
        <v>125.0</v>
      </c>
      <c r="G34" s="1"/>
      <c r="I34" s="2"/>
      <c r="J34" s="2"/>
      <c r="K34" s="1"/>
      <c r="M34" s="2" t="s">
        <v>60</v>
      </c>
      <c r="N34" s="2">
        <v>5.0</v>
      </c>
      <c r="O34" s="1"/>
    </row>
    <row r="35">
      <c r="A35" s="2" t="s">
        <v>19</v>
      </c>
      <c r="B35" s="2">
        <v>150.0</v>
      </c>
      <c r="C35" s="1"/>
      <c r="E35" s="2" t="s">
        <v>11</v>
      </c>
      <c r="F35" s="2">
        <v>250.0</v>
      </c>
      <c r="G35" s="1"/>
      <c r="I35" s="2"/>
      <c r="J35" s="2"/>
      <c r="K35" s="1"/>
      <c r="M35" s="2" t="s">
        <v>22</v>
      </c>
      <c r="N35" s="2">
        <v>1000.0</v>
      </c>
      <c r="O35" s="1"/>
    </row>
    <row r="36">
      <c r="A36" s="2" t="s">
        <v>63</v>
      </c>
      <c r="B36" s="2">
        <v>150.0</v>
      </c>
      <c r="C36" s="1"/>
      <c r="E36" s="2" t="s">
        <v>19</v>
      </c>
      <c r="F36" s="2">
        <v>100.0</v>
      </c>
      <c r="G36" s="1"/>
      <c r="I36" s="2"/>
      <c r="J36" s="2"/>
      <c r="K36" s="1"/>
      <c r="M36" s="2" t="s">
        <v>46</v>
      </c>
      <c r="N36" s="2">
        <v>1000.0</v>
      </c>
      <c r="O36" s="1"/>
    </row>
    <row r="37">
      <c r="A37" s="2" t="s">
        <v>30</v>
      </c>
      <c r="B37" s="2">
        <v>15.0</v>
      </c>
      <c r="C37" s="1"/>
      <c r="E37" s="2" t="s">
        <v>20</v>
      </c>
      <c r="F37" s="2">
        <v>1.0</v>
      </c>
      <c r="G37" s="1"/>
      <c r="I37" s="2"/>
      <c r="J37" s="2"/>
      <c r="K37" s="1"/>
      <c r="M37" s="2" t="s">
        <v>33</v>
      </c>
      <c r="N37" s="2">
        <v>1.0</v>
      </c>
      <c r="O37" s="1"/>
    </row>
    <row r="38">
      <c r="A38" s="2" t="s">
        <v>22</v>
      </c>
      <c r="B38" s="2">
        <v>600.0</v>
      </c>
      <c r="C38" s="1"/>
      <c r="E38" s="2" t="s">
        <v>22</v>
      </c>
      <c r="F38" s="2">
        <v>1200.0</v>
      </c>
      <c r="G38" s="1"/>
      <c r="I38" s="2"/>
      <c r="J38" s="2"/>
      <c r="K38" s="1"/>
      <c r="M38" s="2" t="s">
        <v>37</v>
      </c>
      <c r="N38" s="2">
        <v>1.0</v>
      </c>
      <c r="O38" s="1"/>
    </row>
    <row r="39">
      <c r="A39" s="2" t="s">
        <v>29</v>
      </c>
      <c r="B39" s="2">
        <v>350.0</v>
      </c>
      <c r="C39" s="1"/>
      <c r="E39" s="2" t="s">
        <v>29</v>
      </c>
      <c r="F39" s="2">
        <v>350.0</v>
      </c>
      <c r="G39" s="1"/>
      <c r="I39" s="2"/>
      <c r="J39" s="2"/>
      <c r="K39" s="1"/>
      <c r="M39" s="2" t="s">
        <v>39</v>
      </c>
      <c r="N39" s="2">
        <v>1.0</v>
      </c>
      <c r="O39" s="1"/>
    </row>
    <row r="40">
      <c r="A40" s="2" t="s">
        <v>68</v>
      </c>
      <c r="B40" s="2">
        <v>250.0</v>
      </c>
      <c r="C40" s="1"/>
      <c r="E40" s="2" t="s">
        <v>68</v>
      </c>
      <c r="F40" s="2">
        <v>300.0</v>
      </c>
      <c r="G40" s="1"/>
      <c r="I40" s="2"/>
      <c r="J40" s="2"/>
      <c r="K40" s="1"/>
      <c r="M40" s="5"/>
      <c r="N40" s="8"/>
      <c r="O40" s="1"/>
    </row>
    <row r="41">
      <c r="A41" s="2" t="s">
        <v>33</v>
      </c>
      <c r="B41" s="2">
        <v>1.0</v>
      </c>
      <c r="C41" s="1"/>
      <c r="E41" s="2" t="s">
        <v>33</v>
      </c>
      <c r="F41" s="2">
        <v>1.0</v>
      </c>
      <c r="G41" s="1"/>
      <c r="I41" s="2" t="s">
        <v>33</v>
      </c>
      <c r="J41" s="2">
        <v>1.0</v>
      </c>
      <c r="K41" s="1"/>
    </row>
    <row r="42">
      <c r="A42" s="2" t="s">
        <v>37</v>
      </c>
      <c r="B42" s="2">
        <v>1.0</v>
      </c>
      <c r="C42" s="1"/>
      <c r="E42" s="2" t="s">
        <v>37</v>
      </c>
      <c r="F42" s="2">
        <v>1.0</v>
      </c>
      <c r="G42" s="1"/>
      <c r="I42" s="2" t="s">
        <v>37</v>
      </c>
      <c r="J42" s="2">
        <v>1.0</v>
      </c>
      <c r="K42" s="1"/>
    </row>
    <row r="43">
      <c r="A43" s="2" t="s">
        <v>39</v>
      </c>
      <c r="B43" s="2">
        <v>1.0</v>
      </c>
      <c r="C43" s="1"/>
      <c r="E43" s="2" t="s">
        <v>39</v>
      </c>
      <c r="F43" s="2">
        <v>1.0</v>
      </c>
      <c r="G43" s="1"/>
      <c r="I43" s="2" t="s">
        <v>39</v>
      </c>
      <c r="J43" s="2">
        <v>1.0</v>
      </c>
      <c r="K43" s="1"/>
    </row>
    <row r="44">
      <c r="A44" s="5"/>
      <c r="B44" s="8"/>
      <c r="C44" s="1"/>
      <c r="E44" s="5"/>
      <c r="F44" s="8"/>
      <c r="G44" s="1"/>
      <c r="I44" s="5"/>
      <c r="J44" s="8"/>
      <c r="K44" s="1"/>
    </row>
  </sheetData>
  <mergeCells count="13">
    <mergeCell ref="I16:J16"/>
    <mergeCell ref="M16:N16"/>
    <mergeCell ref="A32:B32"/>
    <mergeCell ref="E32:F32"/>
    <mergeCell ref="I32:J32"/>
    <mergeCell ref="M32:N32"/>
    <mergeCell ref="A2:B2"/>
    <mergeCell ref="E2:F2"/>
    <mergeCell ref="I2:J2"/>
    <mergeCell ref="M2:N2"/>
    <mergeCell ref="Q2:R2"/>
    <mergeCell ref="A16:B16"/>
    <mergeCell ref="E16:F16"/>
  </mergeCells>
  <drawing r:id="rId1"/>
</worksheet>
</file>